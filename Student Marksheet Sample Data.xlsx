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han\Downloads\"/>
    </mc:Choice>
  </mc:AlternateContent>
  <xr:revisionPtr revIDLastSave="0" documentId="8_{A350F6B9-B2AB-4558-9E2A-A3F693923833}" xr6:coauthVersionLast="47" xr6:coauthVersionMax="47" xr10:uidLastSave="{00000000-0000-0000-0000-000000000000}"/>
  <bookViews>
    <workbookView xWindow="-108" yWindow="-108" windowWidth="23256" windowHeight="12456" xr2:uid="{91DDC87B-CE63-44F1-A2D2-1136C1C1C7C0}"/>
  </bookViews>
  <sheets>
    <sheet name="Student Marks" sheetId="2" r:id="rId1"/>
  </sheets>
  <definedNames>
    <definedName name="_xlnm._FilterDatabase" localSheetId="0" hidden="1">'Student Marks'!$C$8:$F$38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" i="2" l="1"/>
  <c r="M22" i="2"/>
  <c r="M21" i="2"/>
  <c r="M20" i="2"/>
  <c r="M19" i="2"/>
  <c r="M18" i="2"/>
  <c r="M17" i="2"/>
  <c r="M16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10" i="2"/>
  <c r="J9" i="2"/>
  <c r="J11" i="2"/>
  <c r="I24" i="2"/>
  <c r="H12" i="2"/>
  <c r="I12" i="2" s="1"/>
  <c r="H11" i="2"/>
  <c r="I11" i="2" s="1"/>
  <c r="I21" i="2"/>
  <c r="I10" i="2"/>
  <c r="I13" i="2"/>
  <c r="I14" i="2"/>
  <c r="I15" i="2"/>
  <c r="I16" i="2"/>
  <c r="I17" i="2"/>
  <c r="I18" i="2"/>
  <c r="I19" i="2"/>
  <c r="I20" i="2"/>
  <c r="I22" i="2"/>
  <c r="I23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G32" i="2"/>
  <c r="G28" i="2"/>
  <c r="G23" i="2"/>
  <c r="G21" i="2"/>
  <c r="G13" i="2"/>
  <c r="G24" i="2"/>
  <c r="G31" i="2"/>
  <c r="G18" i="2"/>
  <c r="G36" i="2"/>
  <c r="G30" i="2"/>
  <c r="G20" i="2"/>
  <c r="G34" i="2"/>
  <c r="G37" i="2"/>
  <c r="G15" i="2"/>
  <c r="G29" i="2"/>
  <c r="G26" i="2"/>
  <c r="G17" i="2"/>
  <c r="G16" i="2"/>
  <c r="G9" i="2"/>
  <c r="G33" i="2"/>
  <c r="G11" i="2"/>
  <c r="G22" i="2"/>
  <c r="G12" i="2"/>
  <c r="G38" i="2"/>
  <c r="G25" i="2"/>
  <c r="G35" i="2"/>
  <c r="G27" i="2"/>
  <c r="G14" i="2"/>
  <c r="G19" i="2"/>
  <c r="G10" i="2"/>
  <c r="H31" i="2"/>
  <c r="H29" i="2"/>
  <c r="H20" i="2"/>
  <c r="H32" i="2"/>
  <c r="H16" i="2"/>
  <c r="H25" i="2"/>
  <c r="H19" i="2"/>
  <c r="H37" i="2"/>
  <c r="H27" i="2"/>
  <c r="H13" i="2"/>
  <c r="H33" i="2"/>
  <c r="H23" i="2"/>
  <c r="H36" i="2"/>
  <c r="H17" i="2"/>
  <c r="H30" i="2"/>
  <c r="H10" i="2"/>
  <c r="H35" i="2"/>
  <c r="H22" i="2"/>
  <c r="H24" i="2"/>
  <c r="H15" i="2"/>
  <c r="H38" i="2"/>
  <c r="H18" i="2"/>
  <c r="H28" i="2"/>
  <c r="H9" i="2"/>
  <c r="H26" i="2"/>
  <c r="H14" i="2"/>
  <c r="H34" i="2"/>
  <c r="H21" i="2"/>
</calcChain>
</file>

<file path=xl/sharedStrings.xml><?xml version="1.0" encoding="utf-8"?>
<sst xmlns="http://schemas.openxmlformats.org/spreadsheetml/2006/main" count="51" uniqueCount="50">
  <si>
    <t>Students Marksheet Data</t>
  </si>
  <si>
    <t>Total Marks</t>
  </si>
  <si>
    <t>ID</t>
  </si>
  <si>
    <t>Name</t>
  </si>
  <si>
    <t>Marks in Math (Out of 100)</t>
  </si>
  <si>
    <t>Marks in Physics (Out of 100)</t>
  </si>
  <si>
    <t>Marks in Chemistry (Out of 100)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</si>
  <si>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</si>
  <si>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</si>
  <si>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</si>
  <si>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</si>
  <si>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</si>
  <si>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</si>
  <si>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</si>
  <si>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</si>
  <si>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</si>
  <si>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</si>
  <si>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</si>
  <si>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</si>
  <si>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</si>
  <si>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</si>
  <si>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</si>
  <si>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</si>
  <si>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</si>
  <si>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</si>
  <si>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</si>
  <si>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</si>
  <si>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</si>
  <si>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</si>
  <si>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</si>
  <si>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</si>
  <si>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</si>
  <si>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</si>
  <si>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</si>
  <si>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</si>
  <si>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</si>
  <si>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</si>
  <si>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Grade</t>
  </si>
  <si>
    <t>C</t>
  </si>
  <si>
    <t>Pass/Fail</t>
  </si>
  <si>
    <t xml:space="preserve">Student Performance Analysis Dashhboard </t>
  </si>
  <si>
    <r>
      <t xml:space="preserve"> </t>
    </r>
    <r>
      <rPr>
        <b/>
        <sz val="24"/>
        <color theme="4" tint="-0.249977111117893"/>
        <rFont val="Calibri"/>
        <family val="2"/>
      </rPr>
      <t>Summary    Box</t>
    </r>
  </si>
  <si>
    <t xml:space="preserve">Total Students </t>
  </si>
  <si>
    <t xml:space="preserve">Average Percentage </t>
  </si>
  <si>
    <t xml:space="preserve">A Grade Count </t>
  </si>
  <si>
    <t xml:space="preserve">B Grade Count </t>
  </si>
  <si>
    <t xml:space="preserve">C Grade Count </t>
  </si>
  <si>
    <t xml:space="preserve">Pass Count </t>
  </si>
  <si>
    <t xml:space="preserve">Fail Count 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</si>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</sst>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b/>
      <sz val="24"/>
      <color theme="4" tint="-0.249977111117893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0" borderId="2" xfId="1" applyNumberFormat="1" applyFont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9" fontId="5" fillId="0" borderId="2" xfId="1" applyFont="1" applyBorder="1" applyAlignment="1">
      <alignment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9" fontId="3" fillId="0" borderId="0" xfId="0" applyNumberFormat="1" applyFont="1"/>
    <xf numFmtId="0" fontId="2" fillId="5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vertical="center"/>
    </xf>
    <xf numFmtId="0" fontId="13" fillId="0" borderId="0" xfId="0" applyFont="1" applyAlignment="1">
      <alignment horizontal="right"/>
    </xf>
    <xf numFmtId="0" fontId="13" fillId="0" borderId="0" xfId="0" applyFont="1"/>
    <xf numFmtId="0" fontId="3" fillId="7" borderId="3" xfId="0" applyFont="1" applyFill="1" applyBorder="1" applyAlignment="1">
      <alignment horizontal="center"/>
    </xf>
    <xf numFmtId="0" fontId="9" fillId="0" borderId="3" xfId="0" applyFont="1" applyBorder="1"/>
    <xf numFmtId="0" fontId="3" fillId="0" borderId="3" xfId="0" applyFont="1" applyBorder="1"/>
    <xf numFmtId="0" fontId="12" fillId="0" borderId="3" xfId="0" applyFont="1" applyBorder="1"/>
    <xf numFmtId="9" fontId="12" fillId="0" borderId="3" xfId="0" applyNumberFormat="1" applyFont="1" applyBorder="1"/>
    <xf numFmtId="0" fontId="0" fillId="0" borderId="3" xfId="0" applyBorder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Grade</a:t>
            </a:r>
            <a:r>
              <a:rPr lang="en-IN" sz="1600" b="1" baseline="0"/>
              <a:t> Distribution 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Marks'!$L$18:$L$20</c:f>
              <c:strCache>
                <c:ptCount val="3"/>
                <c:pt idx="0">
                  <c:v>A Grade Count </c:v>
                </c:pt>
                <c:pt idx="1">
                  <c:v>B Grade Count </c:v>
                </c:pt>
                <c:pt idx="2">
                  <c:v>C Grade Count </c:v>
                </c:pt>
              </c:strCache>
            </c:strRef>
          </c:cat>
          <c:val>
            <c:numRef>
              <c:f>'Student Marks'!$M$18:$M$20</c:f>
              <c:numCache>
                <c:formatCode>General</c:formatCode>
                <c:ptCount val="3"/>
                <c:pt idx="0">
                  <c:v>9</c:v>
                </c:pt>
                <c:pt idx="1">
                  <c:v>16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C-474A-9BFD-696E0F2D9D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2249615"/>
        <c:axId val="1172251535"/>
      </c:barChart>
      <c:catAx>
        <c:axId val="1172249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51535"/>
        <c:crosses val="autoZero"/>
        <c:auto val="1"/>
        <c:lblAlgn val="ctr"/>
        <c:lblOffset val="100"/>
        <c:noMultiLvlLbl val="0"/>
      </c:catAx>
      <c:valAx>
        <c:axId val="11722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2249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280147</xdr:colOff>
      <xdr:row>25</xdr:row>
      <xdr:rowOff>22412</xdr:rowOff>
    </xdr:from>
    <xdr:to>
      <xdr:col>14</xdr:col>
      <xdr:colOff>212910</xdr:colOff>
      <xdr:row>40</xdr:row>
      <xdr:rowOff>44823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5922DA-C4DA-C245-F8E0-B3DEB7F44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1ADE-43A7-44CE-8EF6-4661F33A6B19}">
  <dimension ref="B2:Q38"/>
  <sheetViews>
    <sheetView showGridLines="0" tabSelected="1" zoomScale="63" zoomScaleNormal="63" workbookViewId="0">
      <selection activeCell="I38" sqref="I38"/>
    </sheetView>
  </sheetViews>
  <sheetFormatPr defaultRowHeight="14.4" x14ac:dyDescent="0.3"/>
  <cols>
    <col min="1" max="1" width="3.5546875" style="2" customWidth="1"/>
    <col min="2" max="2" width="12.33203125" style="2" customWidth="1"/>
    <col min="3" max="3" width="18.5546875" style="2" bestFit="1" customWidth="1"/>
    <col min="4" max="4" width="17.6640625" style="2" customWidth="1"/>
    <col min="5" max="5" width="18.33203125" style="2" customWidth="1"/>
    <col min="6" max="7" width="21.88671875" style="2" customWidth="1"/>
    <col min="8" max="8" width="14.33203125" style="2" customWidth="1"/>
    <col min="9" max="10" width="13" style="2" customWidth="1"/>
    <col min="11" max="11" width="15.21875" style="2" customWidth="1"/>
    <col min="12" max="12" width="18.33203125" style="2" customWidth="1"/>
    <col min="13" max="32" width="15.21875" style="2" customWidth="1"/>
    <col min="33" max="16384" width="8.88671875" style="2"/>
  </cols>
  <sheetData>
    <row r="2" spans="2:15" ht="18.600000000000001" thickBot="1" x14ac:dyDescent="0.35">
      <c r="B2" s="11"/>
      <c r="C2" s="11"/>
      <c r="D2" s="11"/>
      <c r="E2" s="11" t="s">
        <v>40</v>
      </c>
      <c r="F2" s="11"/>
      <c r="G2" s="11"/>
      <c r="H2" s="11"/>
    </row>
    <row r="4" spans="2:15" ht="18.600000000000001" thickBot="1" x14ac:dyDescent="0.35">
      <c r="B4" s="1" t="s">
        <v>0</v>
      </c>
      <c r="C4" s="1"/>
      <c r="D4" s="1"/>
      <c r="E4" s="1"/>
      <c r="F4" s="1"/>
      <c r="G4" s="1"/>
      <c r="H4" s="1"/>
    </row>
    <row r="6" spans="2:15" x14ac:dyDescent="0.3">
      <c r="F6" s="3" t="s">
        <v>1</v>
      </c>
      <c r="G6" s="3"/>
      <c r="H6" s="4">
        <v>300</v>
      </c>
    </row>
    <row r="8" spans="2:15" ht="35.25" customHeight="1" x14ac:dyDescent="0.3">
      <c r="B8" s="5" t="s">
        <v>2</v>
      </c>
      <c r="C8" s="5" t="s">
        <v>3</v>
      </c>
      <c r="D8" s="5" t="s">
        <v>4</v>
      </c>
      <c r="E8" s="5" t="s">
        <v>5</v>
      </c>
      <c r="F8" s="5" t="s">
        <v>6</v>
      </c>
      <c r="G8" s="5" t="s">
        <v>1</v>
      </c>
      <c r="H8" s="8" t="s">
        <v>49</v>
      </c>
      <c r="I8" s="9" t="s">
        <v>37</v>
      </c>
      <c r="J8" s="12" t="s">
        <v>39</v>
      </c>
    </row>
    <row r="9" spans="2:15" ht="15.6" x14ac:dyDescent="0.3">
      <c r="B9" s="6">
        <v>120022</v>
      </c>
      <c r="C9" s="6" t="s">
        <v>11</v>
      </c>
      <c r="D9" s="6">
        <v>75</v>
      </c>
      <c r="E9" s="6">
        <v>80</v>
      </c>
      <c r="F9" s="6">
        <v>77</v>
      </c>
      <c r="G9" s="6">
        <f t="shared" ref="G9:G38" si="0">SUM(D9:F9)</f>
        <v>232</v>
      </c>
      <c r="H9" s="7">
        <f t="shared" ref="H9:H38" si="1">SUM(D9:F9)/$H$6</f>
        <v>0.77333333333333332</v>
      </c>
      <c r="I9" s="13" t="s">
        <v>38</v>
      </c>
      <c r="J9" s="14" t="str">
        <f>IF(H9&gt;=40,"Fail","Pass")</f>
        <v>Pass</v>
      </c>
    </row>
    <row r="10" spans="2:15" ht="15.6" x14ac:dyDescent="0.3">
      <c r="B10" s="6">
        <v>120039</v>
      </c>
      <c r="C10" s="6" t="s">
        <v>19</v>
      </c>
      <c r="D10" s="6">
        <v>76</v>
      </c>
      <c r="E10" s="6">
        <v>81</v>
      </c>
      <c r="F10" s="6">
        <v>75</v>
      </c>
      <c r="G10" s="6">
        <f t="shared" si="0"/>
        <v>232</v>
      </c>
      <c r="H10" s="7">
        <f t="shared" si="1"/>
        <v>0.77333333333333332</v>
      </c>
      <c r="I10" s="13" t="str">
        <f t="shared" ref="I10:I38" si="2">IF(H10&gt;=0.9,"A",IF(H10&gt;=0.8,"B",IF(H10&gt;=0.7,"C",IF(H10&gt;=0.6,"D","F"))))</f>
        <v>C</v>
      </c>
      <c r="J10" s="14" t="str">
        <f>IF(H10&gt;=40,"Fail","Pass")</f>
        <v>Pass</v>
      </c>
    </row>
    <row r="11" spans="2:15" ht="15.6" x14ac:dyDescent="0.3">
      <c r="B11" s="6">
        <v>120098</v>
      </c>
      <c r="C11" s="6" t="s">
        <v>35</v>
      </c>
      <c r="D11" s="6">
        <v>76</v>
      </c>
      <c r="E11" s="6">
        <v>81</v>
      </c>
      <c r="F11" s="6">
        <v>75</v>
      </c>
      <c r="G11" s="6">
        <f t="shared" si="0"/>
        <v>232</v>
      </c>
      <c r="H11" s="7">
        <f>SUM(D11:F11)/$H$6</f>
        <v>0.77333333333333332</v>
      </c>
      <c r="I11" s="13" t="str">
        <f>IF(H11&gt;=0.9,"A",IF(H11&gt;=0.8,"B",IF(H11&gt;=0.7,"C",IF(H11&gt;=0.6,"D","F"))))</f>
        <v>C</v>
      </c>
      <c r="J11" s="14" t="str">
        <f>IF(H11&gt;=40,"Fail","Pass")</f>
        <v>Pass</v>
      </c>
    </row>
    <row r="12" spans="2:15" ht="15.6" x14ac:dyDescent="0.3">
      <c r="B12" s="6">
        <v>120054</v>
      </c>
      <c r="C12" s="6" t="s">
        <v>23</v>
      </c>
      <c r="D12" s="6">
        <v>77</v>
      </c>
      <c r="E12" s="6">
        <v>82</v>
      </c>
      <c r="F12" s="6">
        <v>76</v>
      </c>
      <c r="G12" s="6">
        <f t="shared" si="0"/>
        <v>235</v>
      </c>
      <c r="H12" s="7">
        <f>SUM(D12:F12)/$H$6</f>
        <v>0.78333333333333333</v>
      </c>
      <c r="I12" s="13" t="str">
        <f>IF(H12&gt;=0.9,"A",IF(H12&gt;=0.8,"B",IF(H12&gt;=0.7,"C",IF(H12&gt;=0.6,"D","F"))))</f>
        <v>C</v>
      </c>
      <c r="J12" s="14" t="str">
        <f t="shared" ref="J12:J38" si="3">IF(H12&gt;=40,"Fail","Pass")</f>
        <v>Pass</v>
      </c>
      <c r="L12" s="10"/>
    </row>
    <row r="13" spans="2:15" ht="15.6" x14ac:dyDescent="0.3">
      <c r="B13" s="6">
        <v>120070</v>
      </c>
      <c r="C13" s="6" t="s">
        <v>26</v>
      </c>
      <c r="D13" s="6">
        <v>78</v>
      </c>
      <c r="E13" s="6">
        <v>83</v>
      </c>
      <c r="F13" s="6">
        <v>77</v>
      </c>
      <c r="G13" s="6">
        <f t="shared" si="0"/>
        <v>238</v>
      </c>
      <c r="H13" s="7">
        <f t="shared" si="1"/>
        <v>0.79333333333333333</v>
      </c>
      <c r="I13" s="13" t="str">
        <f t="shared" si="2"/>
        <v>C</v>
      </c>
      <c r="J13" s="14" t="str">
        <f t="shared" si="3"/>
        <v>Pass</v>
      </c>
    </row>
    <row r="14" spans="2:15" ht="15.6" x14ac:dyDescent="0.3">
      <c r="B14" s="6">
        <v>120017</v>
      </c>
      <c r="C14" s="6" t="s">
        <v>9</v>
      </c>
      <c r="D14" s="6">
        <v>78</v>
      </c>
      <c r="E14" s="6">
        <v>82</v>
      </c>
      <c r="F14" s="6">
        <v>80</v>
      </c>
      <c r="G14" s="6">
        <f t="shared" si="0"/>
        <v>240</v>
      </c>
      <c r="H14" s="7">
        <f t="shared" si="1"/>
        <v>0.8</v>
      </c>
      <c r="I14" s="13" t="str">
        <f t="shared" si="2"/>
        <v>B</v>
      </c>
      <c r="J14" s="14" t="str">
        <f t="shared" si="3"/>
        <v>Pass</v>
      </c>
    </row>
    <row r="15" spans="2:15" ht="31.2" x14ac:dyDescent="0.6">
      <c r="B15" s="6">
        <v>120034</v>
      </c>
      <c r="C15" s="6" t="s">
        <v>15</v>
      </c>
      <c r="D15" s="6">
        <v>79</v>
      </c>
      <c r="E15" s="6">
        <v>84</v>
      </c>
      <c r="F15" s="6">
        <v>78</v>
      </c>
      <c r="G15" s="6">
        <f t="shared" si="0"/>
        <v>241</v>
      </c>
      <c r="H15" s="7">
        <f t="shared" si="1"/>
        <v>0.80333333333333334</v>
      </c>
      <c r="I15" s="13" t="str">
        <f t="shared" si="2"/>
        <v>B</v>
      </c>
      <c r="J15" s="14" t="str">
        <f t="shared" si="3"/>
        <v>Pass</v>
      </c>
      <c r="L15" s="15"/>
      <c r="M15" s="15" t="s">
        <v>41</v>
      </c>
      <c r="N15" s="15"/>
      <c r="O15"/>
    </row>
    <row r="16" spans="2:15" ht="15.6" x14ac:dyDescent="0.3">
      <c r="B16" s="6">
        <v>120088</v>
      </c>
      <c r="C16" s="6" t="s">
        <v>31</v>
      </c>
      <c r="D16" s="6">
        <v>79</v>
      </c>
      <c r="E16" s="6">
        <v>84</v>
      </c>
      <c r="F16" s="6">
        <v>78</v>
      </c>
      <c r="G16" s="6">
        <f t="shared" si="0"/>
        <v>241</v>
      </c>
      <c r="H16" s="7">
        <f t="shared" si="1"/>
        <v>0.80333333333333334</v>
      </c>
      <c r="I16" s="13" t="str">
        <f t="shared" si="2"/>
        <v>B</v>
      </c>
      <c r="J16" s="14" t="str">
        <f t="shared" si="3"/>
        <v>Pass</v>
      </c>
      <c r="L16" s="16" t="s">
        <v>42</v>
      </c>
      <c r="M16" s="16">
        <f>COUNT(B9:B38)</f>
        <v>30</v>
      </c>
      <c r="N16" s="17"/>
    </row>
    <row r="17" spans="2:17" ht="15.6" x14ac:dyDescent="0.3">
      <c r="B17" s="6">
        <v>120047</v>
      </c>
      <c r="C17" s="6" t="s">
        <v>21</v>
      </c>
      <c r="D17" s="6">
        <v>80</v>
      </c>
      <c r="E17" s="6">
        <v>85</v>
      </c>
      <c r="F17" s="6">
        <v>79</v>
      </c>
      <c r="G17" s="6">
        <f t="shared" si="0"/>
        <v>244</v>
      </c>
      <c r="H17" s="7">
        <f t="shared" si="1"/>
        <v>0.81333333333333335</v>
      </c>
      <c r="I17" s="13" t="str">
        <f t="shared" si="2"/>
        <v>B</v>
      </c>
      <c r="J17" s="14" t="str">
        <f t="shared" si="3"/>
        <v>Pass</v>
      </c>
      <c r="L17" s="18" t="s">
        <v>43</v>
      </c>
      <c r="M17" s="19">
        <f>AVERAGE(H9:H38)</f>
        <v>0.85577777777777786</v>
      </c>
      <c r="N17" s="17"/>
    </row>
    <row r="18" spans="2:17" ht="15.6" x14ac:dyDescent="0.3">
      <c r="B18" s="6">
        <v>120025</v>
      </c>
      <c r="C18" s="6" t="s">
        <v>13</v>
      </c>
      <c r="D18" s="6">
        <v>82</v>
      </c>
      <c r="E18" s="6">
        <v>79</v>
      </c>
      <c r="F18" s="6">
        <v>84</v>
      </c>
      <c r="G18" s="6">
        <f t="shared" si="0"/>
        <v>245</v>
      </c>
      <c r="H18" s="7">
        <f t="shared" si="1"/>
        <v>0.81666666666666665</v>
      </c>
      <c r="I18" s="13" t="str">
        <f t="shared" si="2"/>
        <v>B</v>
      </c>
      <c r="J18" s="14" t="str">
        <f t="shared" si="3"/>
        <v>Pass</v>
      </c>
      <c r="L18" s="18" t="s">
        <v>44</v>
      </c>
      <c r="M18" s="18">
        <f>COUNTIF(I9:I38,"A")</f>
        <v>9</v>
      </c>
      <c r="N18" s="17"/>
    </row>
    <row r="19" spans="2:17" ht="15.6" x14ac:dyDescent="0.3">
      <c r="B19" s="6">
        <v>120082</v>
      </c>
      <c r="C19" s="6" t="s">
        <v>29</v>
      </c>
      <c r="D19" s="6">
        <v>81</v>
      </c>
      <c r="E19" s="6">
        <v>87</v>
      </c>
      <c r="F19" s="6">
        <v>80</v>
      </c>
      <c r="G19" s="6">
        <f t="shared" si="0"/>
        <v>248</v>
      </c>
      <c r="H19" s="7">
        <f t="shared" si="1"/>
        <v>0.82666666666666666</v>
      </c>
      <c r="I19" s="13" t="str">
        <f t="shared" si="2"/>
        <v>B</v>
      </c>
      <c r="J19" s="14" t="str">
        <f t="shared" si="3"/>
        <v>Pass</v>
      </c>
      <c r="L19" s="18" t="s">
        <v>45</v>
      </c>
      <c r="M19" s="18">
        <f>COUNTIF(I9:I38,"B")</f>
        <v>16</v>
      </c>
      <c r="N19" s="17"/>
    </row>
    <row r="20" spans="2:17" ht="15.6" x14ac:dyDescent="0.3">
      <c r="B20" s="6">
        <v>120093</v>
      </c>
      <c r="C20" s="6" t="s">
        <v>33</v>
      </c>
      <c r="D20" s="6">
        <v>82</v>
      </c>
      <c r="E20" s="6">
        <v>87</v>
      </c>
      <c r="F20" s="6">
        <v>83</v>
      </c>
      <c r="G20" s="6">
        <f t="shared" si="0"/>
        <v>252</v>
      </c>
      <c r="H20" s="7">
        <f t="shared" si="1"/>
        <v>0.84</v>
      </c>
      <c r="I20" s="13" t="str">
        <f t="shared" si="2"/>
        <v>B</v>
      </c>
      <c r="J20" s="14" t="str">
        <f t="shared" si="3"/>
        <v>Pass</v>
      </c>
      <c r="L20" s="18" t="s">
        <v>46</v>
      </c>
      <c r="M20" s="18">
        <f>COUNTIF(I9:I38,"C")</f>
        <v>5</v>
      </c>
      <c r="N20" s="17"/>
    </row>
    <row r="21" spans="2:17" ht="15.6" x14ac:dyDescent="0.3">
      <c r="B21" s="6">
        <v>120001</v>
      </c>
      <c r="C21" s="6" t="s">
        <v>7</v>
      </c>
      <c r="D21" s="6">
        <v>85</v>
      </c>
      <c r="E21" s="6">
        <v>78</v>
      </c>
      <c r="F21" s="6">
        <v>90</v>
      </c>
      <c r="G21" s="6">
        <f t="shared" si="0"/>
        <v>253</v>
      </c>
      <c r="H21" s="7">
        <f t="shared" si="1"/>
        <v>0.84333333333333338</v>
      </c>
      <c r="I21" s="13" t="str">
        <f>IF(H21&gt;=0.9,"A",IF(H21&gt;=0.8,"B",IF(H21&gt;=0.7,"C",IF(H21&gt;=0.6,"D","F"))))</f>
        <v>B</v>
      </c>
      <c r="J21" s="14" t="str">
        <f t="shared" si="3"/>
        <v>Pass</v>
      </c>
      <c r="L21" s="18" t="s">
        <v>47</v>
      </c>
      <c r="M21" s="18">
        <f>COUNTIF(J9:J38,"Pass")</f>
        <v>30</v>
      </c>
      <c r="N21" s="17"/>
    </row>
    <row r="22" spans="2:17" ht="15.6" x14ac:dyDescent="0.3">
      <c r="B22" s="6">
        <v>120036</v>
      </c>
      <c r="C22" s="6" t="s">
        <v>17</v>
      </c>
      <c r="D22" s="6">
        <v>83</v>
      </c>
      <c r="E22" s="6">
        <v>88</v>
      </c>
      <c r="F22" s="6">
        <v>82</v>
      </c>
      <c r="G22" s="6">
        <f t="shared" si="0"/>
        <v>253</v>
      </c>
      <c r="H22" s="7">
        <f t="shared" si="1"/>
        <v>0.84333333333333338</v>
      </c>
      <c r="I22" s="13" t="str">
        <f t="shared" si="2"/>
        <v>B</v>
      </c>
      <c r="J22" s="14" t="str">
        <f t="shared" si="3"/>
        <v>Pass</v>
      </c>
      <c r="K22"/>
      <c r="L22" s="18" t="s">
        <v>48</v>
      </c>
      <c r="M22" s="16">
        <f>COUNTIF(J9:J38,"Fail")</f>
        <v>0</v>
      </c>
      <c r="N22" s="20"/>
      <c r="O22"/>
      <c r="P22"/>
      <c r="Q22"/>
    </row>
    <row r="23" spans="2:17" ht="15.6" x14ac:dyDescent="0.3">
      <c r="B23" s="6">
        <v>120060</v>
      </c>
      <c r="C23" s="6" t="s">
        <v>24</v>
      </c>
      <c r="D23" s="6">
        <v>86</v>
      </c>
      <c r="E23" s="6">
        <v>89</v>
      </c>
      <c r="F23" s="6">
        <v>84</v>
      </c>
      <c r="G23" s="6">
        <f t="shared" si="0"/>
        <v>259</v>
      </c>
      <c r="H23" s="7">
        <f t="shared" si="1"/>
        <v>0.86333333333333329</v>
      </c>
      <c r="I23" s="13" t="str">
        <f t="shared" si="2"/>
        <v>B</v>
      </c>
      <c r="J23" s="14" t="str">
        <f t="shared" si="3"/>
        <v>Pass</v>
      </c>
      <c r="K23"/>
      <c r="M23"/>
      <c r="N23"/>
      <c r="O23"/>
      <c r="P23"/>
      <c r="Q23"/>
    </row>
    <row r="24" spans="2:17" ht="15.6" x14ac:dyDescent="0.3">
      <c r="B24" s="6">
        <v>120035</v>
      </c>
      <c r="C24" s="6" t="s">
        <v>16</v>
      </c>
      <c r="D24" s="6">
        <v>87</v>
      </c>
      <c r="E24" s="6">
        <v>90</v>
      </c>
      <c r="F24" s="6">
        <v>85</v>
      </c>
      <c r="G24" s="6">
        <f t="shared" si="0"/>
        <v>262</v>
      </c>
      <c r="H24" s="7">
        <f t="shared" si="1"/>
        <v>0.87333333333333329</v>
      </c>
      <c r="I24" s="13" t="str">
        <f>IF(H24&gt;=0.9,"A",IF(H24&gt;=0.8,"B",IF(H24&gt;=0.7,"C",IF(H24&gt;=0.6,"D","F"))))</f>
        <v>B</v>
      </c>
      <c r="J24" s="14" t="str">
        <f t="shared" si="3"/>
        <v>Pass</v>
      </c>
      <c r="K24"/>
      <c r="L24"/>
      <c r="M24"/>
      <c r="N24"/>
      <c r="O24"/>
      <c r="P24"/>
      <c r="Q24"/>
    </row>
    <row r="25" spans="2:17" ht="15.6" x14ac:dyDescent="0.3">
      <c r="B25" s="6">
        <v>120083</v>
      </c>
      <c r="C25" s="6" t="s">
        <v>30</v>
      </c>
      <c r="D25" s="6">
        <v>87</v>
      </c>
      <c r="E25" s="6">
        <v>90</v>
      </c>
      <c r="F25" s="6">
        <v>85</v>
      </c>
      <c r="G25" s="6">
        <f t="shared" si="0"/>
        <v>262</v>
      </c>
      <c r="H25" s="7">
        <f t="shared" si="1"/>
        <v>0.87333333333333329</v>
      </c>
      <c r="I25" s="13" t="str">
        <f t="shared" si="2"/>
        <v>B</v>
      </c>
      <c r="J25" s="14" t="str">
        <f t="shared" si="3"/>
        <v>Pass</v>
      </c>
      <c r="K25"/>
      <c r="L25"/>
      <c r="M25"/>
      <c r="N25"/>
      <c r="O25"/>
      <c r="P25"/>
      <c r="Q25"/>
    </row>
    <row r="26" spans="2:17" ht="15.6" x14ac:dyDescent="0.3">
      <c r="B26" s="6">
        <v>120018</v>
      </c>
      <c r="C26" s="6" t="s">
        <v>10</v>
      </c>
      <c r="D26" s="6">
        <v>90</v>
      </c>
      <c r="E26" s="6">
        <v>85</v>
      </c>
      <c r="F26" s="6">
        <v>88</v>
      </c>
      <c r="G26" s="6">
        <f t="shared" si="0"/>
        <v>263</v>
      </c>
      <c r="H26" s="7">
        <f t="shared" si="1"/>
        <v>0.87666666666666671</v>
      </c>
      <c r="I26" s="13" t="str">
        <f t="shared" si="2"/>
        <v>B</v>
      </c>
      <c r="J26" s="14" t="str">
        <f t="shared" si="3"/>
        <v>Pass</v>
      </c>
      <c r="K26"/>
      <c r="L26"/>
      <c r="M26"/>
      <c r="N26"/>
      <c r="O26"/>
      <c r="P26"/>
      <c r="Q26"/>
    </row>
    <row r="27" spans="2:17" ht="15" customHeight="1" x14ac:dyDescent="0.3">
      <c r="B27" s="6">
        <v>120071</v>
      </c>
      <c r="C27" s="6" t="s">
        <v>27</v>
      </c>
      <c r="D27" s="6">
        <v>85</v>
      </c>
      <c r="E27" s="6">
        <v>91</v>
      </c>
      <c r="F27" s="6">
        <v>87</v>
      </c>
      <c r="G27" s="6">
        <f t="shared" si="0"/>
        <v>263</v>
      </c>
      <c r="H27" s="7">
        <f t="shared" si="1"/>
        <v>0.87666666666666671</v>
      </c>
      <c r="I27" s="13" t="str">
        <f t="shared" si="2"/>
        <v>B</v>
      </c>
      <c r="J27" s="14" t="str">
        <f t="shared" si="3"/>
        <v>Pass</v>
      </c>
      <c r="K27"/>
      <c r="L27"/>
      <c r="M27"/>
      <c r="N27"/>
      <c r="O27"/>
      <c r="P27"/>
      <c r="Q27"/>
    </row>
    <row r="28" spans="2:17" ht="15.6" x14ac:dyDescent="0.3">
      <c r="B28" s="6">
        <v>120024</v>
      </c>
      <c r="C28" s="6" t="s">
        <v>12</v>
      </c>
      <c r="D28" s="6">
        <v>88</v>
      </c>
      <c r="E28" s="6">
        <v>92</v>
      </c>
      <c r="F28" s="6">
        <v>86</v>
      </c>
      <c r="G28" s="6">
        <f t="shared" si="0"/>
        <v>266</v>
      </c>
      <c r="H28" s="7">
        <f t="shared" si="1"/>
        <v>0.88666666666666671</v>
      </c>
      <c r="I28" s="13" t="str">
        <f t="shared" si="2"/>
        <v>B</v>
      </c>
      <c r="J28" s="14" t="str">
        <f t="shared" si="3"/>
        <v>Pass</v>
      </c>
      <c r="K28"/>
      <c r="L28"/>
      <c r="M28"/>
      <c r="N28"/>
      <c r="O28"/>
      <c r="P28"/>
      <c r="Q28"/>
    </row>
    <row r="29" spans="2:17" ht="15.6" x14ac:dyDescent="0.3">
      <c r="B29" s="6">
        <v>120095</v>
      </c>
      <c r="C29" s="6" t="s">
        <v>34</v>
      </c>
      <c r="D29" s="6">
        <v>88</v>
      </c>
      <c r="E29" s="6">
        <v>91</v>
      </c>
      <c r="F29" s="6">
        <v>87</v>
      </c>
      <c r="G29" s="6">
        <f t="shared" si="0"/>
        <v>266</v>
      </c>
      <c r="H29" s="7">
        <f t="shared" si="1"/>
        <v>0.88666666666666671</v>
      </c>
      <c r="I29" s="13" t="str">
        <f t="shared" si="2"/>
        <v>B</v>
      </c>
      <c r="J29" s="14" t="str">
        <f t="shared" si="3"/>
        <v>Pass</v>
      </c>
      <c r="K29"/>
      <c r="L29"/>
      <c r="M29"/>
      <c r="N29"/>
      <c r="O29"/>
      <c r="P29"/>
      <c r="Q29"/>
    </row>
    <row r="30" spans="2:17" ht="15.6" x14ac:dyDescent="0.3">
      <c r="B30" s="6">
        <v>120046</v>
      </c>
      <c r="C30" s="6" t="s">
        <v>20</v>
      </c>
      <c r="D30" s="6">
        <v>89</v>
      </c>
      <c r="E30" s="6">
        <v>93</v>
      </c>
      <c r="F30" s="6">
        <v>88</v>
      </c>
      <c r="G30" s="6">
        <f t="shared" si="0"/>
        <v>270</v>
      </c>
      <c r="H30" s="7">
        <f t="shared" si="1"/>
        <v>0.9</v>
      </c>
      <c r="I30" s="13" t="str">
        <f t="shared" si="2"/>
        <v>A</v>
      </c>
      <c r="J30" s="14" t="str">
        <f t="shared" si="3"/>
        <v>Pass</v>
      </c>
      <c r="K30"/>
      <c r="L30"/>
      <c r="M30"/>
      <c r="N30"/>
      <c r="O30"/>
      <c r="P30"/>
      <c r="Q30"/>
    </row>
    <row r="31" spans="2:17" ht="15.6" x14ac:dyDescent="0.3">
      <c r="B31" s="6">
        <v>120099</v>
      </c>
      <c r="C31" s="6" t="s">
        <v>36</v>
      </c>
      <c r="D31" s="6">
        <v>89</v>
      </c>
      <c r="E31" s="6">
        <v>93</v>
      </c>
      <c r="F31" s="6">
        <v>88</v>
      </c>
      <c r="G31" s="6">
        <f t="shared" si="0"/>
        <v>270</v>
      </c>
      <c r="H31" s="7">
        <f t="shared" si="1"/>
        <v>0.9</v>
      </c>
      <c r="I31" s="13" t="str">
        <f t="shared" si="2"/>
        <v>A</v>
      </c>
      <c r="J31" s="14" t="str">
        <f t="shared" si="3"/>
        <v>Pass</v>
      </c>
      <c r="K31"/>
      <c r="L31"/>
      <c r="M31"/>
      <c r="N31"/>
      <c r="O31"/>
      <c r="P31"/>
      <c r="Q31"/>
    </row>
    <row r="32" spans="2:17" ht="15.6" x14ac:dyDescent="0.3">
      <c r="B32" s="6">
        <v>120090</v>
      </c>
      <c r="C32" s="6" t="s">
        <v>32</v>
      </c>
      <c r="D32" s="6">
        <v>90</v>
      </c>
      <c r="E32" s="6">
        <v>92</v>
      </c>
      <c r="F32" s="6">
        <v>89</v>
      </c>
      <c r="G32" s="6">
        <f t="shared" si="0"/>
        <v>271</v>
      </c>
      <c r="H32" s="7">
        <f t="shared" si="1"/>
        <v>0.90333333333333332</v>
      </c>
      <c r="I32" s="13" t="str">
        <f t="shared" si="2"/>
        <v>A</v>
      </c>
      <c r="J32" s="14" t="str">
        <f t="shared" si="3"/>
        <v>Pass</v>
      </c>
      <c r="K32"/>
      <c r="L32"/>
      <c r="M32"/>
      <c r="N32"/>
      <c r="O32"/>
      <c r="P32"/>
      <c r="Q32"/>
    </row>
    <row r="33" spans="2:17" ht="15.6" x14ac:dyDescent="0.3">
      <c r="B33" s="6">
        <v>120063</v>
      </c>
      <c r="C33" s="6" t="s">
        <v>25</v>
      </c>
      <c r="D33" s="6">
        <v>92</v>
      </c>
      <c r="E33" s="6">
        <v>88</v>
      </c>
      <c r="F33" s="6">
        <v>93</v>
      </c>
      <c r="G33" s="6">
        <f t="shared" si="0"/>
        <v>273</v>
      </c>
      <c r="H33" s="7">
        <f t="shared" si="1"/>
        <v>0.91</v>
      </c>
      <c r="I33" s="13" t="str">
        <f t="shared" si="2"/>
        <v>A</v>
      </c>
      <c r="J33" s="14" t="str">
        <f t="shared" si="3"/>
        <v>Pass</v>
      </c>
      <c r="K33"/>
      <c r="L33"/>
      <c r="M33"/>
      <c r="N33"/>
      <c r="O33"/>
      <c r="P33"/>
      <c r="Q33"/>
    </row>
    <row r="34" spans="2:17" ht="15.6" x14ac:dyDescent="0.3">
      <c r="B34" s="6">
        <v>120005</v>
      </c>
      <c r="C34" s="6" t="s">
        <v>8</v>
      </c>
      <c r="D34" s="6">
        <v>92</v>
      </c>
      <c r="E34" s="6">
        <v>88</v>
      </c>
      <c r="F34" s="6">
        <v>94</v>
      </c>
      <c r="G34" s="6">
        <f t="shared" si="0"/>
        <v>274</v>
      </c>
      <c r="H34" s="7">
        <f t="shared" si="1"/>
        <v>0.91333333333333333</v>
      </c>
      <c r="I34" s="13" t="str">
        <f t="shared" si="2"/>
        <v>A</v>
      </c>
      <c r="J34" s="14" t="str">
        <f t="shared" si="3"/>
        <v>Pass</v>
      </c>
      <c r="K34"/>
      <c r="L34"/>
      <c r="M34"/>
      <c r="N34"/>
      <c r="O34"/>
      <c r="P34"/>
      <c r="Q34"/>
    </row>
    <row r="35" spans="2:17" ht="15.6" x14ac:dyDescent="0.3">
      <c r="B35" s="6">
        <v>120038</v>
      </c>
      <c r="C35" s="6" t="s">
        <v>18</v>
      </c>
      <c r="D35" s="6">
        <v>91</v>
      </c>
      <c r="E35" s="6">
        <v>95</v>
      </c>
      <c r="F35" s="6">
        <v>90</v>
      </c>
      <c r="G35" s="6">
        <f t="shared" si="0"/>
        <v>276</v>
      </c>
      <c r="H35" s="7">
        <f t="shared" si="1"/>
        <v>0.92</v>
      </c>
      <c r="I35" s="13" t="str">
        <f t="shared" si="2"/>
        <v>A</v>
      </c>
      <c r="J35" s="14" t="str">
        <f t="shared" si="3"/>
        <v>Pass</v>
      </c>
      <c r="K35"/>
      <c r="L35"/>
      <c r="M35"/>
      <c r="N35"/>
      <c r="O35"/>
      <c r="P35"/>
      <c r="Q35"/>
    </row>
    <row r="36" spans="2:17" ht="15.6" x14ac:dyDescent="0.3">
      <c r="B36" s="6">
        <v>120049</v>
      </c>
      <c r="C36" s="6" t="s">
        <v>22</v>
      </c>
      <c r="D36" s="6">
        <v>94</v>
      </c>
      <c r="E36" s="6">
        <v>90</v>
      </c>
      <c r="F36" s="6">
        <v>95</v>
      </c>
      <c r="G36" s="6">
        <f t="shared" si="0"/>
        <v>279</v>
      </c>
      <c r="H36" s="7">
        <f t="shared" si="1"/>
        <v>0.93</v>
      </c>
      <c r="I36" s="13" t="str">
        <f t="shared" si="2"/>
        <v>A</v>
      </c>
      <c r="J36" s="14" t="str">
        <f t="shared" si="3"/>
        <v>Pass</v>
      </c>
      <c r="K36"/>
      <c r="L36"/>
      <c r="M36"/>
      <c r="N36"/>
      <c r="O36"/>
      <c r="P36"/>
      <c r="Q36"/>
    </row>
    <row r="37" spans="2:17" ht="15.6" x14ac:dyDescent="0.3">
      <c r="B37" s="6">
        <v>120073</v>
      </c>
      <c r="C37" s="6" t="s">
        <v>28</v>
      </c>
      <c r="D37" s="6">
        <v>93</v>
      </c>
      <c r="E37" s="6">
        <v>95</v>
      </c>
      <c r="F37" s="6">
        <v>92</v>
      </c>
      <c r="G37" s="6">
        <f t="shared" si="0"/>
        <v>280</v>
      </c>
      <c r="H37" s="7">
        <f t="shared" si="1"/>
        <v>0.93333333333333335</v>
      </c>
      <c r="I37" s="13" t="str">
        <f t="shared" si="2"/>
        <v>A</v>
      </c>
      <c r="J37" s="14" t="str">
        <f t="shared" si="3"/>
        <v>Pass</v>
      </c>
      <c r="K37"/>
      <c r="L37"/>
      <c r="M37"/>
      <c r="N37"/>
      <c r="O37"/>
      <c r="P37"/>
      <c r="Q37"/>
    </row>
    <row r="38" spans="2:17" ht="15.6" x14ac:dyDescent="0.3">
      <c r="B38" s="6">
        <v>120027</v>
      </c>
      <c r="C38" s="6" t="s">
        <v>14</v>
      </c>
      <c r="D38" s="6">
        <v>95</v>
      </c>
      <c r="E38" s="6">
        <v>91</v>
      </c>
      <c r="F38" s="6">
        <v>96</v>
      </c>
      <c r="G38" s="6">
        <f t="shared" si="0"/>
        <v>282</v>
      </c>
      <c r="H38" s="7">
        <f t="shared" si="1"/>
        <v>0.94</v>
      </c>
      <c r="I38" s="13" t="str">
        <f t="shared" si="2"/>
        <v>A</v>
      </c>
      <c r="J38" s="14" t="str">
        <f t="shared" si="3"/>
        <v>Pass</v>
      </c>
    </row>
  </sheetData>
  <sortState xmlns:xlrd2="http://schemas.microsoft.com/office/spreadsheetml/2017/richdata2" ref="B9:H38">
    <sortCondition ref="G10:G38"/>
  </sortState>
  <conditionalFormatting sqref="H8:H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{0763EDD4-3C5F-4B51-B8DC-737A27C77C70}</x14:id>
        </ext>
      </extLst>
    </cfRule>
  </conditionalFormatting>
  <conditionalFormatting sqref="I8:I38">
    <cfRule type="containsText" dxfId="2" priority="5" operator="containsText" text="A">
      <formula>NOT(ISERROR(SEARCH("A",I8)))</formula>
    </cfRule>
  </conditionalFormatting>
  <conditionalFormatting sqref="I9:I13">
    <cfRule type="containsText" dxfId="1" priority="3" operator="containsText" text="C">
      <formula>NOT(ISERROR(SEARCH("C",I9)))</formula>
    </cfRule>
  </conditionalFormatting>
  <conditionalFormatting sqref="I14:I29">
    <cfRule type="containsText" dxfId="0" priority="4" operator="containsText" text="B">
      <formula>NOT(ISERROR(SEARCH("B",I14)))</formula>
    </cfRule>
  </conditionalFormatting>
  <dataValidations count="1">
    <dataValidation type="list" allowBlank="1" showInputMessage="1" showErrorMessage="1" sqref="N10 I9:I38" xr:uid="{880D009A-F197-4809-9977-47EE4B258496}">
      <formula1>"A,B,C"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63EDD4-3C5F-4B51-B8DC-737A27C77C7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H8:H38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Rohan goyal</cp:lastModifiedBy>
  <dcterms:created xsi:type="dcterms:W3CDTF">2024-02-19T11:57:57Z</dcterms:created>
  <dcterms:modified xsi:type="dcterms:W3CDTF">2026-03-30T09:56:12Z</dcterms:modified>
</cp:coreProperties>
</file>